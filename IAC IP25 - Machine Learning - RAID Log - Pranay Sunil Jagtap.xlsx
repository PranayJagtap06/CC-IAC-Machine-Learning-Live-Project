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2"/>
  <workbookPr/>
  <xr:revisionPtr revIDLastSave="4" documentId="11_837D7ACAEF41D8C5E5657B016EA216875C36E846" xr6:coauthVersionLast="47" xr6:coauthVersionMax="47" xr10:uidLastSave="{9C0EB3E8-DC08-4E8E-BDFB-38E88B20035E}"/>
  <bookViews>
    <workbookView xWindow="0" yWindow="0" windowWidth="16384" windowHeight="8192" tabRatio="500" xr2:uid="{00000000-000D-0000-FFFF-FFFF00000000}"/>
  </bookViews>
  <sheets>
    <sheet name="RAID LOG" sheetId="1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5" i="1" l="1"/>
  <c r="Q5" i="1"/>
  <c r="P5" i="1"/>
  <c r="O5" i="1"/>
  <c r="N5" i="1"/>
  <c r="M5" i="1"/>
  <c r="R4" i="1"/>
  <c r="Q4" i="1"/>
  <c r="P4" i="1"/>
  <c r="O4" i="1"/>
  <c r="N4" i="1"/>
  <c r="M4" i="1"/>
  <c r="R3" i="1"/>
  <c r="Q3" i="1"/>
  <c r="P3" i="1"/>
  <c r="O3" i="1"/>
  <c r="N3" i="1"/>
  <c r="M3" i="1"/>
  <c r="R2" i="1"/>
  <c r="Q2" i="1"/>
  <c r="P2" i="1"/>
  <c r="O2" i="1"/>
  <c r="N2" i="1"/>
  <c r="R6" i="1" s="1"/>
  <c r="M2" i="1"/>
  <c r="M6" i="1" s="1"/>
</calcChain>
</file>

<file path=xl/sharedStrings.xml><?xml version="1.0" encoding="utf-8"?>
<sst xmlns="http://schemas.openxmlformats.org/spreadsheetml/2006/main" count="164" uniqueCount="87">
  <si>
    <t>RAID Log</t>
  </si>
  <si>
    <t>Should you face any difficulty in completing the RAID Log, please refer to 'Project Planning' Workshop, https://cloudcounselage.graphy.com/sessions/Project-Planning-64af88dcb308530823e2c19f</t>
  </si>
  <si>
    <t>Total</t>
  </si>
  <si>
    <t>Critical</t>
  </si>
  <si>
    <t>High</t>
  </si>
  <si>
    <t>Moderate</t>
  </si>
  <si>
    <t>Low</t>
  </si>
  <si>
    <t>Negligible</t>
  </si>
  <si>
    <t>Risk</t>
  </si>
  <si>
    <r>
      <rPr>
        <b/>
        <sz val="14"/>
        <color theme="1"/>
        <rFont val="Calibri"/>
        <family val="2"/>
        <charset val="1"/>
      </rPr>
      <t xml:space="preserve">Instruction to use the RAID log template:
</t>
    </r>
    <r>
      <rPr>
        <sz val="12"/>
        <color theme="1"/>
        <rFont val="Calibri"/>
        <family val="2"/>
        <charset val="1"/>
      </rPr>
      <t xml:space="preserve">•	All fields must be duly filled
•	The descriptions for what to be filled in each of the fields are provided in the template.
•	Clear all the sample data/instructions provided in the template. The data/instruction provided is only for reference purposes.
•	Understand what risks, assumptions, issues, and dependencies are from the description provided in the methodology document
•	Select the category of RAID from the dropdown menu provided in the “RAID category” field in the template.
•	Provide a valid description of the RAID category that you have selected in the “description” field provided.
•	Describe the impact the RAID category you have selected will have on the project in the “impact field”.
•	Describe how the impact of the selected RAID category can be reduced on the project in the “mitigation field” in the template.
•	Mention the responsible person for working on the selected RAID category in the “owner” field in the template.
•	Select the priority with which the selected RAID category needs to be mitigated. The following levels of priority are given in the drop-down menu. Select;
o	Negligible: if the RAID category is not going to make an impact on the project
o	Low: if the raid category is going to make very small impacts on the project
o	Moderate: if the RAID category is going to make a few impacts which can affect the project adversely.
o	High: if the RAID category is going to make major impacts on the project adversely.
o	Critical: if the raid category is going to affect the project at any stage.
•	Provide risk priority number based on the priority selected for the RAID category selected.
•	Select the status of the RAID category selected. Two options are provided in the drop-down menu. Select;
o	Open: if the responsible person is still working on the RAID category selected.
o	Closed: if the responsible person has worked on the RAID category and is solved. </t>
    </r>
  </si>
  <si>
    <t>Project title:</t>
  </si>
  <si>
    <t>Graduate Career Recommender System</t>
  </si>
  <si>
    <t>Project Id:</t>
  </si>
  <si>
    <t>Project Manager:</t>
  </si>
  <si>
    <t>Harshada Topale</t>
  </si>
  <si>
    <t>Assumption</t>
  </si>
  <si>
    <t>Issue</t>
  </si>
  <si>
    <t>DOCUMENT VERSION:</t>
  </si>
  <si>
    <t>Last Updated date:</t>
  </si>
  <si>
    <t>Project Team Lead:</t>
  </si>
  <si>
    <t>Pranay Sunil Jagtap</t>
  </si>
  <si>
    <t>Dependency</t>
  </si>
  <si>
    <t>Select …</t>
  </si>
  <si>
    <t>Owner</t>
  </si>
  <si>
    <t>Risk Priority Number</t>
  </si>
  <si>
    <t>Open/Closed</t>
  </si>
  <si>
    <t>RAID Category</t>
  </si>
  <si>
    <t>Description</t>
  </si>
  <si>
    <t>Impact</t>
  </si>
  <si>
    <t>Mitigation</t>
  </si>
  <si>
    <t>Priority</t>
  </si>
  <si>
    <t>RPN (for risks)</t>
  </si>
  <si>
    <t>Status</t>
  </si>
  <si>
    <t>Incorrect handling of NaN and duplicated values in the dataset</t>
  </si>
  <si>
    <t>Model training errors and inacurate predictions</t>
  </si>
  <si>
    <t>Use proper imputation strategies and handle NaNs or drop NaNs if necessary. Remove duplicated values</t>
  </si>
  <si>
    <t>Team Lead</t>
  </si>
  <si>
    <t>Closed</t>
  </si>
  <si>
    <t>The dataset is imbalanced. There is an imbalance in the target variable classes. Being a classification task, target classes must be balanced.</t>
  </si>
  <si>
    <t>The model may get baised towards the majority target class and generalize poorly</t>
  </si>
  <si>
    <t>Use stratified splits to ensure the target classes ratio is maintained in train, validation, and test set. Used RandomUnderSampler to balance the classes. Use StratifiedKFold for model training with Optuna.</t>
  </si>
  <si>
    <t>Model Overfitting</t>
  </si>
  <si>
    <t>Model or NN may overfit on the limited or imbalanced data. Lead to poor generalization on unseen data.</t>
  </si>
  <si>
    <t>Use cross-validation or stratifiedkfold, oversampling or undersampling, and monitor performance metrics on train/val sets like precision, recall, and f1-score. AVOID USING ONLY ACCURACY AS A PERFORMACE METRIC IN IMBALANCED DATA CASE</t>
  </si>
  <si>
    <t>Experiment Tracking Relaibility</t>
  </si>
  <si>
    <t>MLFlow/DAGsHub tracking or artifacts logging may fail resulting in loss of expriment data</t>
  </si>
  <si>
    <t xml:space="preserve">Added error handling and logging function/code blocks and </t>
  </si>
  <si>
    <t>Compute resource contraints</t>
  </si>
  <si>
    <t>Running Optuna hyper-parameter search or training neural networks may exceed available compute power/memory</t>
  </si>
  <si>
    <t>Use batch processing, limited/lesser optuna trials, and allowed both CPU/GPU training</t>
  </si>
  <si>
    <t>Model performance not matching the desired performance threshold even after taking required performance improvement strategies</t>
  </si>
  <si>
    <t>Model with high bias, poor precision &amp; recall values. Model predictions can not be trusted. Probability score of the predicted class is lower than 40%. False negatives (missing a suitable career path) are more detrimental than False positives.</t>
  </si>
  <si>
    <t>Use precision-recall-curve to find out a threshold value which can improve models recall without compromising precision.</t>
  </si>
  <si>
    <t>Project Manager/Team Lead</t>
  </si>
  <si>
    <t>The provided dataset has relevant features for target variable prediction</t>
  </si>
  <si>
    <t>Impacts model’s capability to learn from the features, eventually resulting in poor generalization</t>
  </si>
  <si>
    <t>Review the dataset and perform feature engineering and create interaction features if neccessary</t>
  </si>
  <si>
    <t>Students information integrity. Students self reported skills, rating, and preferences are assumed to be true and genuine.</t>
  </si>
  <si>
    <t>Inaccurate self-assessment could reduce model’s recommendation quality.</t>
  </si>
  <si>
    <t>Library compatibility. All libraries to be used are assumed to be compatible with each other and available in the environment.</t>
  </si>
  <si>
    <t>Using incompatible libraries or version mismatch could break the code and produce inconsistent results.</t>
  </si>
  <si>
    <t>Create a separate environment for the project and ensure correct library version is installed.</t>
  </si>
  <si>
    <t>Artifacts persistence. Saved artifacts, encoders, models, and metrics are available for future references and deployment purposes.</t>
  </si>
  <si>
    <t>Missing artifacts would prevent reproducibiity and model deployment.</t>
  </si>
  <si>
    <t>Ensure consistent artifact logging to MLFlow/DAGsHub after each experiment.</t>
  </si>
  <si>
    <t>Open</t>
  </si>
  <si>
    <t>Outlier handling. Outlier detected in numerical features.</t>
  </si>
  <si>
    <t xml:space="preserve">Outliers can significantly impact model’s overall performance leading to reduced accuracy, biased predictions, and poor generalization. </t>
  </si>
  <si>
    <t>Applied IQR based capping and reduced its impact by removing outliers.</t>
  </si>
  <si>
    <t>Categorical feature encoding. Many categorical features requires careful encoding to numbers. ML models can not process text/string data upfront. The text data needs to be encoded/converted into numeric form before feeding it to the model.</t>
  </si>
  <si>
    <t>ML model may break and throw error/warning regarding passing string data without proper encoding.</t>
  </si>
  <si>
    <t>Essential categorical feature encoding strategies were used like LabelEncoder and OneHotEncoder depending on categorical feature type.</t>
  </si>
  <si>
    <t>Need for comprehensive model evaluation strategy like confusion matrix, classification report, ROC and PR curves.</t>
  </si>
  <si>
    <t>Helped to find out model’s performance on training and validation data.</t>
  </si>
  <si>
    <t>Implemented custom plotting and evaluation functions using plotly.</t>
  </si>
  <si>
    <t>Project’s Dependencies: Scikit-learn, Pytorch, pandas, numpy, plotly, matplotlib, imblearn, mlflow, dagshub, torchmetrics, etc.</t>
  </si>
  <si>
    <t>Impossible to train model without these libraries.</t>
  </si>
  <si>
    <t>Installed libraries.</t>
  </si>
  <si>
    <t>Data Artifacts: Encoders, model checkpoints, metrics files. Essential for reproducibility and model deployment.</t>
  </si>
  <si>
    <t>Would be difficult to deploy model with similar weights as at the time of training.</t>
  </si>
  <si>
    <t>Loaded artifacts and model weights from MLFlow/DAGsHub.</t>
  </si>
  <si>
    <t>Experiment Tracking URI &amp; credentials: MLFlow/DAGsHub tracking URI and credentials for logging experiments and artifacts.</t>
  </si>
  <si>
    <t>Without tracking URI and account credentials we can not log experiments and artifacts to MLFlow/DAGsHub.</t>
  </si>
  <si>
    <t>Set via environment variables or Colab secrets.</t>
  </si>
  <si>
    <t>GPU Hardware: For faster neural network training (optional)</t>
  </si>
  <si>
    <t>Training NN model on CPU can be incredibly lengthy.</t>
  </si>
  <si>
    <t>Code support both CPU and GPU based model training.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</si>
</sst>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"/>
  </numFmts>
  <fonts count="20">
    <font>
      <sz val="11"/>
      <color theme="1"/>
      <name val="Calibri"/>
      <family val="2"/>
      <charset val="1"/>
    </font>
    <font>
      <sz val="9"/>
      <color rgb="FFA5A5A5"/>
      <name val="Calibri"/>
      <family val="2"/>
      <charset val="1"/>
    </font>
    <font>
      <b/>
      <sz val="20"/>
      <color theme="1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color rgb="FFBFBFBF"/>
      <name val="Calibri"/>
      <family val="2"/>
      <charset val="1"/>
    </font>
    <font>
      <b/>
      <sz val="9"/>
      <color rgb="FFBFBFBF"/>
      <name val="Calibri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color rgb="FF7F7F7F"/>
      <name val="Calibri"/>
      <family val="2"/>
      <charset val="1"/>
    </font>
    <font>
      <sz val="8"/>
      <color theme="1"/>
      <name val="Calibri"/>
      <family val="2"/>
      <charset val="1"/>
    </font>
    <font>
      <sz val="9"/>
      <color rgb="FF595959"/>
      <name val="Calibri"/>
      <family val="2"/>
      <charset val="1"/>
    </font>
    <font>
      <sz val="8"/>
      <color rgb="FFA5A5A5"/>
      <name val="Calibri"/>
      <family val="2"/>
      <charset val="1"/>
    </font>
    <font>
      <i/>
      <sz val="9"/>
      <color rgb="FF3465A4"/>
      <name val="Calibri"/>
      <family val="2"/>
      <charset val="1"/>
    </font>
    <font>
      <i/>
      <sz val="9"/>
      <color theme="1"/>
      <name val="Calibri"/>
      <family val="2"/>
      <charset val="1"/>
    </font>
    <font>
      <sz val="8"/>
      <color rgb="FFDDDDDD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7F7F7F"/>
      <name val="Calibri"/>
      <family val="2"/>
      <charset val="1"/>
    </font>
    <font>
      <sz val="9"/>
      <color rgb="FF7F7F7F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2F2F2"/>
      </patternFill>
    </fill>
    <fill>
      <patternFill patternType="solid">
        <fgColor theme="7" tint="0.39988402966399123"/>
        <bgColor rgb="FFFFFF99"/>
      </patternFill>
    </fill>
    <fill>
      <patternFill patternType="solid">
        <fgColor rgb="FFD9D9D9"/>
        <bgColor rgb="FFD8D8D8"/>
      </patternFill>
    </fill>
    <fill>
      <patternFill patternType="solid">
        <fgColor rgb="FFF2F2F2"/>
        <bgColor rgb="FFFFFFFF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/>
      <right/>
      <top style="thick">
        <color auto="1"/>
      </top>
      <bottom style="thin">
        <color rgb="FFBFBFBF"/>
      </bottom>
      <diagonal/>
    </border>
    <border>
      <left/>
      <right style="thick">
        <color auto="1"/>
      </right>
      <top style="thick">
        <color auto="1"/>
      </top>
      <bottom style="thin">
        <color rgb="FFBFBFBF"/>
      </bottom>
      <diagonal/>
    </border>
    <border>
      <left style="thick">
        <color auto="1"/>
      </left>
      <right style="thick">
        <color rgb="FFBFBFBF"/>
      </right>
      <top/>
      <bottom style="thin">
        <color rgb="FFBFBFBF"/>
      </bottom>
      <diagonal/>
    </border>
    <border>
      <left style="thick">
        <color rgb="FFBFBFBF"/>
      </left>
      <right style="thick">
        <color rgb="FFBFBFBF"/>
      </right>
      <top/>
      <bottom style="thin">
        <color rgb="FFBFBFBF"/>
      </bottom>
      <diagonal/>
    </border>
    <border>
      <left style="thick">
        <color rgb="FFBFBFBF"/>
      </left>
      <right style="thick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BFBFBF"/>
      </left>
      <right style="thick">
        <color auto="1"/>
      </right>
      <top style="thin">
        <color rgb="FFBFBFBF"/>
      </top>
      <bottom style="thin">
        <color rgb="FFBFBFBF"/>
      </bottom>
      <diagonal/>
    </border>
    <border>
      <left style="thick">
        <color auto="1"/>
      </left>
      <right/>
      <top/>
      <bottom/>
      <diagonal/>
    </border>
    <border>
      <left/>
      <right/>
      <top style="thin">
        <color rgb="FFBFBFBF"/>
      </top>
      <bottom style="thick">
        <color auto="1"/>
      </bottom>
      <diagonal/>
    </border>
    <border>
      <left/>
      <right style="thick">
        <color auto="1"/>
      </right>
      <top style="thin">
        <color rgb="FFBFBFBF"/>
      </top>
      <bottom style="thick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7" fillId="7" borderId="0" xfId="0" applyFont="1" applyFill="1" applyBorder="1" applyAlignment="1" applyProtection="1">
      <alignment horizontal="center" vertical="center"/>
    </xf>
    <xf numFmtId="0" fontId="8" fillId="5" borderId="3" xfId="0" applyFont="1" applyFill="1" applyBorder="1" applyAlignment="1" applyProtection="1">
      <alignment horizontal="left" vertical="top" wrapText="1"/>
    </xf>
    <xf numFmtId="0" fontId="0" fillId="0" borderId="0" xfId="0" applyAlignment="1" applyProtection="1"/>
    <xf numFmtId="0" fontId="1" fillId="2" borderId="0" xfId="0" applyFont="1" applyFill="1" applyAlignment="1" applyProtection="1"/>
    <xf numFmtId="0" fontId="2" fillId="2" borderId="0" xfId="0" applyFont="1" applyFill="1" applyAlignment="1" applyProtection="1">
      <alignment vertical="center"/>
    </xf>
    <xf numFmtId="0" fontId="3" fillId="2" borderId="0" xfId="0" applyFont="1" applyFill="1" applyAlignment="1" applyProtection="1"/>
    <xf numFmtId="0" fontId="4" fillId="2" borderId="0" xfId="0" applyFont="1" applyFill="1" applyAlignment="1" applyProtection="1"/>
    <xf numFmtId="0" fontId="4" fillId="3" borderId="0" xfId="0" applyFont="1" applyFill="1" applyAlignment="1" applyProtection="1"/>
    <xf numFmtId="0" fontId="4" fillId="4" borderId="0" xfId="0" applyFont="1" applyFill="1" applyAlignment="1" applyProtection="1"/>
    <xf numFmtId="0" fontId="5" fillId="4" borderId="0" xfId="0" applyFont="1" applyFill="1" applyAlignment="1" applyProtection="1">
      <alignment horizontal="center"/>
    </xf>
    <xf numFmtId="0" fontId="6" fillId="4" borderId="0" xfId="0" applyFont="1" applyFill="1" applyAlignment="1" applyProtection="1">
      <alignment horizontal="center"/>
    </xf>
    <xf numFmtId="0" fontId="4" fillId="2" borderId="0" xfId="0" applyFont="1" applyFill="1" applyAlignment="1" applyProtection="1">
      <alignment vertical="center"/>
    </xf>
    <xf numFmtId="0" fontId="4" fillId="2" borderId="0" xfId="0" applyFont="1" applyFill="1" applyAlignment="1" applyProtection="1">
      <alignment horizontal="right" vertical="center"/>
    </xf>
    <xf numFmtId="0" fontId="0" fillId="2" borderId="0" xfId="0" applyFont="1" applyFill="1" applyAlignment="1" applyProtection="1">
      <alignment vertical="center"/>
    </xf>
    <xf numFmtId="0" fontId="4" fillId="4" borderId="0" xfId="0" applyFont="1" applyFill="1" applyAlignment="1" applyProtection="1">
      <alignment vertical="center"/>
    </xf>
    <xf numFmtId="0" fontId="6" fillId="4" borderId="1" xfId="0" applyFont="1" applyFill="1" applyBorder="1" applyAlignment="1" applyProtection="1">
      <alignment horizontal="right" vertical="center"/>
    </xf>
    <xf numFmtId="0" fontId="7" fillId="4" borderId="1" xfId="0" applyFont="1" applyFill="1" applyBorder="1" applyAlignment="1" applyProtection="1">
      <alignment horizontal="center" vertical="center"/>
    </xf>
    <xf numFmtId="0" fontId="6" fillId="4" borderId="1" xfId="0" applyFont="1" applyFill="1" applyBorder="1" applyAlignment="1" applyProtection="1">
      <alignment horizontal="center" vertical="center"/>
    </xf>
    <xf numFmtId="0" fontId="6" fillId="4" borderId="2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left" vertical="center"/>
    </xf>
    <xf numFmtId="0" fontId="4" fillId="6" borderId="0" xfId="0" applyFont="1" applyFill="1" applyAlignment="1" applyProtection="1">
      <alignment horizontal="left" vertical="center"/>
    </xf>
    <xf numFmtId="0" fontId="10" fillId="2" borderId="0" xfId="0" applyFont="1" applyFill="1" applyAlignment="1" applyProtection="1">
      <alignment horizontal="right"/>
    </xf>
    <xf numFmtId="0" fontId="11" fillId="2" borderId="0" xfId="0" applyFont="1" applyFill="1" applyAlignment="1" applyProtection="1">
      <alignment horizontal="left"/>
    </xf>
    <xf numFmtId="0" fontId="4" fillId="4" borderId="0" xfId="0" applyFont="1" applyFill="1" applyAlignment="1" applyProtection="1">
      <alignment horizontal="right"/>
    </xf>
    <xf numFmtId="0" fontId="12" fillId="4" borderId="0" xfId="0" applyFont="1" applyFill="1" applyAlignment="1" applyProtection="1"/>
    <xf numFmtId="0" fontId="12" fillId="2" borderId="0" xfId="0" applyFont="1" applyFill="1" applyAlignment="1" applyProtection="1"/>
    <xf numFmtId="164" fontId="4" fillId="4" borderId="1" xfId="0" applyNumberFormat="1" applyFont="1" applyFill="1" applyBorder="1" applyAlignment="1" applyProtection="1">
      <alignment horizontal="left" vertical="center"/>
    </xf>
    <xf numFmtId="0" fontId="13" fillId="2" borderId="4" xfId="0" applyFont="1" applyFill="1" applyBorder="1" applyAlignment="1" applyProtection="1">
      <alignment horizontal="center"/>
    </xf>
    <xf numFmtId="0" fontId="11" fillId="2" borderId="4" xfId="0" applyFont="1" applyFill="1" applyBorder="1" applyAlignment="1" applyProtection="1">
      <alignment horizontal="left"/>
    </xf>
    <xf numFmtId="0" fontId="10" fillId="2" borderId="4" xfId="0" applyFont="1" applyFill="1" applyBorder="1" applyAlignment="1" applyProtection="1">
      <alignment horizontal="right"/>
    </xf>
    <xf numFmtId="0" fontId="13" fillId="2" borderId="0" xfId="0" applyFont="1" applyFill="1" applyAlignment="1" applyProtection="1">
      <alignment horizontal="center"/>
    </xf>
    <xf numFmtId="0" fontId="7" fillId="4" borderId="2" xfId="0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/>
    <xf numFmtId="0" fontId="4" fillId="2" borderId="6" xfId="0" applyFont="1" applyFill="1" applyBorder="1" applyAlignment="1" applyProtection="1"/>
    <xf numFmtId="0" fontId="4" fillId="2" borderId="7" xfId="0" applyFont="1" applyFill="1" applyBorder="1" applyAlignment="1" applyProtection="1"/>
    <xf numFmtId="0" fontId="5" fillId="2" borderId="5" xfId="0" applyFont="1" applyFill="1" applyBorder="1" applyAlignment="1" applyProtection="1">
      <alignment horizontal="center"/>
    </xf>
    <xf numFmtId="0" fontId="0" fillId="2" borderId="8" xfId="0" applyFont="1" applyFill="1" applyBorder="1" applyAlignment="1" applyProtection="1">
      <alignment horizontal="center" vertical="center" wrapText="1"/>
    </xf>
    <xf numFmtId="0" fontId="0" fillId="2" borderId="9" xfId="0" applyFont="1" applyFill="1" applyBorder="1" applyAlignment="1" applyProtection="1">
      <alignment horizontal="center" vertical="center" wrapText="1"/>
    </xf>
    <xf numFmtId="0" fontId="0" fillId="2" borderId="10" xfId="0" applyFont="1" applyFill="1" applyBorder="1" applyAlignment="1" applyProtection="1">
      <alignment horizontal="center" vertical="center" wrapText="1"/>
    </xf>
    <xf numFmtId="0" fontId="0" fillId="2" borderId="11" xfId="0" applyFont="1" applyFill="1" applyBorder="1" applyAlignment="1" applyProtection="1">
      <alignment horizontal="center" vertical="center" wrapText="1"/>
    </xf>
    <xf numFmtId="0" fontId="11" fillId="2" borderId="12" xfId="0" applyFont="1" applyFill="1" applyBorder="1" applyAlignment="1" applyProtection="1">
      <alignment horizontal="left"/>
    </xf>
    <xf numFmtId="0" fontId="1" fillId="2" borderId="5" xfId="0" applyFont="1" applyFill="1" applyBorder="1" applyAlignment="1" applyProtection="1">
      <alignment horizontal="right" vertical="center"/>
    </xf>
    <xf numFmtId="0" fontId="4" fillId="4" borderId="10" xfId="0" applyFont="1" applyFill="1" applyBorder="1" applyAlignment="1" applyProtection="1">
      <alignment horizontal="center" vertical="center" wrapText="1"/>
    </xf>
    <xf numFmtId="0" fontId="14" fillId="4" borderId="10" xfId="0" applyFont="1" applyFill="1" applyBorder="1" applyAlignment="1" applyProtection="1">
      <alignment horizontal="left" vertical="center" wrapText="1"/>
    </xf>
    <xf numFmtId="0" fontId="14" fillId="4" borderId="10" xfId="0" applyFont="1" applyFill="1" applyBorder="1" applyAlignment="1" applyProtection="1">
      <alignment horizontal="center" vertical="center" wrapText="1"/>
    </xf>
    <xf numFmtId="0" fontId="15" fillId="4" borderId="11" xfId="0" applyFont="1" applyFill="1" applyBorder="1" applyAlignment="1" applyProtection="1">
      <alignment horizontal="center" vertical="center" wrapText="1"/>
    </xf>
    <xf numFmtId="9" fontId="16" fillId="2" borderId="0" xfId="0" applyNumberFormat="1" applyFont="1" applyFill="1" applyAlignment="1" applyProtection="1">
      <alignment horizontal="left"/>
    </xf>
    <xf numFmtId="0" fontId="14" fillId="4" borderId="10" xfId="0" applyFont="1" applyFill="1" applyBorder="1" applyAlignment="1" applyProtection="1">
      <alignment horizontal="left" vertical="center"/>
    </xf>
    <xf numFmtId="0" fontId="4" fillId="2" borderId="13" xfId="0" applyFont="1" applyFill="1" applyBorder="1" applyAlignment="1" applyProtection="1"/>
    <xf numFmtId="0" fontId="4" fillId="2" borderId="14" xfId="0" applyFont="1" applyFill="1" applyBorder="1" applyAlignment="1" applyProtection="1"/>
    <xf numFmtId="0" fontId="18" fillId="2" borderId="0" xfId="0" applyFont="1" applyFill="1" applyAlignment="1" applyProtection="1"/>
    <xf numFmtId="0" fontId="19" fillId="2" borderId="0" xfId="0" applyFont="1" applyFill="1" applyAlignment="1" applyProtection="1"/>
  </cellXfs>
  <cellStyles count="1">
    <cellStyle name="Normal" xfId="0" builtinId="0"/>
  </cellStyles>
  <dxfs count="9">
    <dxf>
      <font>
        <color rgb="FF00B050"/>
      </font>
    </dxf>
    <dxf>
      <font>
        <color rgb="FFC00000"/>
      </font>
    </dxf>
    <dxf>
      <font>
        <color rgb="FF0000CC"/>
      </font>
    </dxf>
    <dxf>
      <font>
        <color rgb="FF4F6128"/>
      </font>
    </dxf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9CCF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C00000"/>
      <rgbColor rgb="FF008000"/>
      <rgbColor rgb="FF000080"/>
      <rgbColor rgb="FF4F6128"/>
      <rgbColor rgb="FF800080"/>
      <rgbColor rgb="FF008080"/>
      <rgbColor rgb="FFBFBFBF"/>
      <rgbColor rgb="FF7F7F7F"/>
      <rgbColor rgb="FF9999FF"/>
      <rgbColor rgb="FF993366"/>
      <rgbColor rgb="FFF2F2F2"/>
      <rgbColor rgb="FFDDDDDD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5E0B4"/>
      <rgbColor rgb="FFFFFF99"/>
      <rgbColor rgb="FF99CCFF"/>
      <rgbColor rgb="FFFF99CC"/>
      <rgbColor rgb="FFCC99FF"/>
      <rgbColor rgb="FFFFD966"/>
      <rgbColor rgb="FF3465A4"/>
      <rgbColor rgb="FF33CCCC"/>
      <rgbColor rgb="FF99CC00"/>
      <rgbColor rgb="FFFFC000"/>
      <rgbColor rgb="FFFF9900"/>
      <rgbColor rgb="FFFF6600"/>
      <rgbColor rgb="FF595959"/>
      <rgbColor rgb="FFA5A5A5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oudcounselage.graphy.com/sessions/Project-Planning-64af88dcb308530823e2c19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5E0B4"/>
  </sheetPr>
  <dimension ref="A1:AA1002"/>
  <sheetViews>
    <sheetView tabSelected="1" topLeftCell="A7" zoomScale="120" zoomScaleNormal="120" workbookViewId="0">
      <selection activeCell="I14" sqref="I14"/>
    </sheetView>
  </sheetViews>
  <sheetFormatPr defaultColWidth="14.42578125" defaultRowHeight="14.25" customHeight="1"/>
  <cols>
    <col min="1" max="1" width="2.7109375" style="3" customWidth="1"/>
    <col min="2" max="2" width="17.28515625" style="3" customWidth="1"/>
    <col min="3" max="5" width="30.7109375" style="3" customWidth="1"/>
    <col min="6" max="6" width="21.28515625" style="3" customWidth="1"/>
    <col min="7" max="7" width="16.7109375" style="3" customWidth="1"/>
    <col min="8" max="8" width="19.85546875" style="3" customWidth="1"/>
    <col min="9" max="9" width="16.7109375" style="3" customWidth="1"/>
    <col min="10" max="10" width="13.85546875" style="3" customWidth="1"/>
    <col min="11" max="11" width="9.7109375" style="3" customWidth="1"/>
    <col min="12" max="12" width="14.140625" style="3" hidden="1" customWidth="1"/>
    <col min="13" max="17" width="7.85546875" style="3" hidden="1" customWidth="1"/>
    <col min="18" max="18" width="11.28515625" style="3" hidden="1" customWidth="1"/>
    <col min="19" max="26" width="8.7109375" style="3" customWidth="1"/>
    <col min="27" max="27" width="18.85546875" style="3" customWidth="1"/>
  </cols>
  <sheetData>
    <row r="1" spans="1:27" ht="26.25" customHeight="1">
      <c r="A1" s="4"/>
      <c r="B1" s="5" t="s">
        <v>0</v>
      </c>
      <c r="C1" s="6" t="s">
        <v>1</v>
      </c>
      <c r="D1" s="7"/>
      <c r="E1" s="8"/>
      <c r="F1" s="8"/>
      <c r="G1" s="8"/>
      <c r="H1" s="8"/>
      <c r="I1" s="7"/>
      <c r="J1" s="7"/>
      <c r="K1" s="9"/>
      <c r="L1" s="10"/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9"/>
      <c r="T1" s="9"/>
      <c r="U1" s="9"/>
      <c r="V1" s="9"/>
      <c r="W1" s="9"/>
      <c r="X1" s="9"/>
      <c r="Y1" s="9"/>
      <c r="Z1" s="9"/>
      <c r="AA1" s="9"/>
    </row>
    <row r="2" spans="1:27" ht="6" customHeight="1">
      <c r="A2" s="12"/>
      <c r="B2" s="12"/>
      <c r="C2" s="13"/>
      <c r="D2" s="13"/>
      <c r="E2" s="12"/>
      <c r="F2" s="14"/>
      <c r="G2" s="12"/>
      <c r="H2" s="13"/>
      <c r="I2" s="12"/>
      <c r="J2" s="13"/>
      <c r="K2" s="15"/>
      <c r="L2" s="16" t="s">
        <v>8</v>
      </c>
      <c r="M2" s="17">
        <f>COUNTIF(B9:B34,L2)</f>
        <v>6</v>
      </c>
      <c r="N2" s="18">
        <f>COUNTIFS(B9:B34,L2,G9:G34,N1,I9:I34,"Open")</f>
        <v>0</v>
      </c>
      <c r="O2" s="18">
        <f>COUNTIFS(B9:B34,L2,G9:G34,O1,I9:I34,"Open")</f>
        <v>0</v>
      </c>
      <c r="P2" s="18">
        <f>COUNTIFS(B9:B34,L2,G9:G34,P1,I9:I34,"Open")</f>
        <v>0</v>
      </c>
      <c r="Q2" s="18">
        <f>COUNTIFS(B9:B34,L2,G9:G34,Q1,I9:I34,"Open")</f>
        <v>0</v>
      </c>
      <c r="R2" s="19">
        <f>COUNTIFS(B9:B34,L2,G9:G34,R1,I9:I34,"Open")</f>
        <v>0</v>
      </c>
      <c r="S2" s="2" t="s">
        <v>9</v>
      </c>
      <c r="T2" s="2"/>
      <c r="U2" s="2"/>
      <c r="V2" s="2"/>
      <c r="W2" s="2"/>
      <c r="X2" s="2"/>
      <c r="Y2" s="2"/>
      <c r="Z2" s="2"/>
      <c r="AA2" s="2"/>
    </row>
    <row r="3" spans="1:27" ht="18" customHeight="1">
      <c r="A3" s="12"/>
      <c r="B3" s="13" t="s">
        <v>10</v>
      </c>
      <c r="C3" s="20" t="s">
        <v>11</v>
      </c>
      <c r="D3" s="21"/>
      <c r="E3" s="13" t="s">
        <v>12</v>
      </c>
      <c r="F3" s="20"/>
      <c r="G3" s="13" t="s">
        <v>13</v>
      </c>
      <c r="H3" s="20" t="s">
        <v>14</v>
      </c>
      <c r="I3" s="12"/>
      <c r="J3" s="12"/>
      <c r="K3" s="15"/>
      <c r="L3" s="16" t="s">
        <v>15</v>
      </c>
      <c r="M3" s="17">
        <f>COUNTIF(B9:B34,L3)</f>
        <v>4</v>
      </c>
      <c r="N3" s="18">
        <f>COUNTIFS(B9:B34,L3,G9:G34,N1,I9:I34,"Open")</f>
        <v>0</v>
      </c>
      <c r="O3" s="18">
        <f>COUNTIFS(B9:B34,L3,G9:G34,O1,I9:I34,"Open")</f>
        <v>0</v>
      </c>
      <c r="P3" s="18">
        <f>COUNTIFS(B9:B34,L3,G9:G34,P1,I9:I34,"Open")</f>
        <v>0</v>
      </c>
      <c r="Q3" s="18">
        <f>COUNTIFS(B9:B34,L3,G9:G34,Q1,I9:I34,"Open")</f>
        <v>0</v>
      </c>
      <c r="R3" s="19">
        <f>COUNTIFS(B9:B34,L3,G9:G34,R1,I9:I34,"Open")</f>
        <v>0</v>
      </c>
      <c r="S3" s="2"/>
      <c r="T3" s="2"/>
      <c r="U3" s="2"/>
      <c r="V3" s="2"/>
      <c r="W3" s="2"/>
      <c r="X3" s="2"/>
      <c r="Y3" s="2"/>
      <c r="Z3" s="2"/>
      <c r="AA3" s="2"/>
    </row>
    <row r="4" spans="1:27" ht="6" customHeight="1">
      <c r="A4" s="12"/>
      <c r="B4" s="22"/>
      <c r="C4" s="23"/>
      <c r="D4" s="23"/>
      <c r="E4" s="22"/>
      <c r="F4" s="23"/>
      <c r="G4" s="12"/>
      <c r="H4" s="12"/>
      <c r="I4" s="12"/>
      <c r="J4" s="12"/>
      <c r="K4" s="24"/>
      <c r="L4" s="16" t="s">
        <v>16</v>
      </c>
      <c r="M4" s="17">
        <f>COUNTIF(B9:B34,L4)</f>
        <v>3</v>
      </c>
      <c r="N4" s="18">
        <f>COUNTIFS(B9:B34,L4,G9:G34,N1,I9:I34,"Open")</f>
        <v>0</v>
      </c>
      <c r="O4" s="18">
        <f>COUNTIFS(B9:B34,L4,G9:G34,O1,I9:I34,"Open")</f>
        <v>0</v>
      </c>
      <c r="P4" s="18">
        <f>COUNTIFS(B9:B34,L4,G9:G34,P1,I9:I34,"Open")</f>
        <v>0</v>
      </c>
      <c r="Q4" s="18">
        <f>COUNTIFS(B9:B34,L4,G9:G34,Q1,I9:I34,"Open")</f>
        <v>0</v>
      </c>
      <c r="R4" s="19">
        <f>COUNTIFS(B9:B34,L4,G9:G34,R1,I9:I34,"Open")</f>
        <v>0</v>
      </c>
      <c r="S4" s="2"/>
      <c r="T4" s="2"/>
      <c r="U4" s="2"/>
      <c r="V4" s="2"/>
      <c r="W4" s="2"/>
      <c r="X4" s="2"/>
      <c r="Y4" s="2"/>
      <c r="Z4" s="2"/>
      <c r="AA4" s="2"/>
    </row>
    <row r="5" spans="1:27" ht="18" customHeight="1">
      <c r="A5" s="12"/>
      <c r="B5" s="7" t="s">
        <v>17</v>
      </c>
      <c r="C5" s="25">
        <v>1.9</v>
      </c>
      <c r="D5" s="26"/>
      <c r="E5" s="13" t="s">
        <v>18</v>
      </c>
      <c r="F5" s="27">
        <v>45811</v>
      </c>
      <c r="G5" s="13" t="s">
        <v>19</v>
      </c>
      <c r="H5" s="20" t="s">
        <v>20</v>
      </c>
      <c r="I5" s="12"/>
      <c r="J5" s="12"/>
      <c r="K5" s="24"/>
      <c r="L5" s="16" t="s">
        <v>21</v>
      </c>
      <c r="M5" s="17">
        <f>COUNTIF(B9:B34,L5)</f>
        <v>4</v>
      </c>
      <c r="N5" s="18">
        <f>COUNTIFS(B9:B34,L5,G9:G34,N1,I9:I34,"Open")</f>
        <v>0</v>
      </c>
      <c r="O5" s="18">
        <f>COUNTIFS(B9:B34,L5,G9:G34,O1,I9:I34,"Open")</f>
        <v>0</v>
      </c>
      <c r="P5" s="18">
        <f>COUNTIFS(B9:B34,L5,G9:G34,P1,I9:I34,"Open")</f>
        <v>0</v>
      </c>
      <c r="Q5" s="18">
        <f>COUNTIFS(B9:B34,L5,G9:G34,Q1,I9:I34,"Open")</f>
        <v>0</v>
      </c>
      <c r="R5" s="19">
        <f>COUNTIFS(B9:B34,L5,G9:G34,R1,I9:I34,"Open")</f>
        <v>0</v>
      </c>
      <c r="S5" s="2"/>
      <c r="T5" s="2"/>
      <c r="U5" s="2"/>
      <c r="V5" s="2"/>
      <c r="W5" s="2"/>
      <c r="X5" s="2"/>
      <c r="Y5" s="2"/>
      <c r="Z5" s="2"/>
      <c r="AA5" s="2"/>
    </row>
    <row r="6" spans="1:27" ht="15" customHeight="1">
      <c r="A6" s="12"/>
      <c r="B6" s="28" t="s">
        <v>22</v>
      </c>
      <c r="C6" s="29"/>
      <c r="D6" s="29"/>
      <c r="E6" s="30"/>
      <c r="F6" s="28" t="s">
        <v>23</v>
      </c>
      <c r="G6" s="28" t="s">
        <v>22</v>
      </c>
      <c r="H6" s="31" t="s">
        <v>24</v>
      </c>
      <c r="I6" s="31" t="s">
        <v>25</v>
      </c>
      <c r="J6" s="12"/>
      <c r="K6" s="24"/>
      <c r="L6" s="9"/>
      <c r="M6" s="17">
        <f>SUM(M2:M5)</f>
        <v>17</v>
      </c>
      <c r="N6" s="9"/>
      <c r="O6" s="9"/>
      <c r="P6" s="9"/>
      <c r="Q6" s="9"/>
      <c r="R6" s="32">
        <f>SUM(N2:R5)</f>
        <v>0</v>
      </c>
      <c r="S6" s="2"/>
      <c r="T6" s="2"/>
      <c r="U6" s="2"/>
      <c r="V6" s="2"/>
      <c r="W6" s="2"/>
      <c r="X6" s="2"/>
      <c r="Y6" s="2"/>
      <c r="Z6" s="2"/>
      <c r="AA6" s="2"/>
    </row>
    <row r="7" spans="1:27" ht="6" customHeight="1">
      <c r="A7" s="33"/>
      <c r="B7" s="34"/>
      <c r="C7" s="34"/>
      <c r="D7" s="34"/>
      <c r="E7" s="34"/>
      <c r="F7" s="34"/>
      <c r="G7" s="34"/>
      <c r="H7" s="34"/>
      <c r="I7" s="35"/>
      <c r="J7" s="7"/>
      <c r="K7" s="9"/>
      <c r="L7" s="9"/>
      <c r="M7" s="9"/>
      <c r="N7" s="9"/>
      <c r="O7" s="9"/>
      <c r="P7" s="9"/>
      <c r="Q7" s="9"/>
      <c r="R7" s="9"/>
      <c r="S7" s="2"/>
      <c r="T7" s="2"/>
      <c r="U7" s="2"/>
      <c r="V7" s="2"/>
      <c r="W7" s="2"/>
      <c r="X7" s="2"/>
      <c r="Y7" s="2"/>
      <c r="Z7" s="2"/>
      <c r="AA7" s="2"/>
    </row>
    <row r="8" spans="1:27" ht="24" customHeight="1">
      <c r="A8" s="36"/>
      <c r="B8" s="37" t="s">
        <v>26</v>
      </c>
      <c r="C8" s="38" t="s">
        <v>27</v>
      </c>
      <c r="D8" s="38" t="s">
        <v>28</v>
      </c>
      <c r="E8" s="39" t="s">
        <v>29</v>
      </c>
      <c r="F8" s="39" t="s">
        <v>23</v>
      </c>
      <c r="G8" s="39" t="s">
        <v>30</v>
      </c>
      <c r="H8" s="39" t="s">
        <v>31</v>
      </c>
      <c r="I8" s="40" t="s">
        <v>32</v>
      </c>
      <c r="J8" s="41"/>
      <c r="K8" s="10"/>
      <c r="L8" s="9"/>
      <c r="M8" s="9"/>
      <c r="N8" s="9"/>
      <c r="O8" s="9"/>
      <c r="P8" s="9"/>
      <c r="Q8" s="9"/>
      <c r="R8" s="9"/>
      <c r="S8" s="2"/>
      <c r="T8" s="2"/>
      <c r="U8" s="2"/>
      <c r="V8" s="2"/>
      <c r="W8" s="2"/>
      <c r="X8" s="2"/>
      <c r="Y8" s="2"/>
      <c r="Z8" s="2"/>
      <c r="AA8" s="2"/>
    </row>
    <row r="9" spans="1:27" ht="39.6">
      <c r="A9" s="42">
        <v>3</v>
      </c>
      <c r="B9" s="43" t="s">
        <v>8</v>
      </c>
      <c r="C9" s="44" t="s">
        <v>33</v>
      </c>
      <c r="D9" s="44" t="s">
        <v>34</v>
      </c>
      <c r="E9" s="44" t="s">
        <v>35</v>
      </c>
      <c r="F9" s="45" t="s">
        <v>36</v>
      </c>
      <c r="G9" s="43" t="s">
        <v>4</v>
      </c>
      <c r="H9" s="43">
        <v>7</v>
      </c>
      <c r="I9" s="46" t="s">
        <v>37</v>
      </c>
      <c r="J9" s="47" t="s">
        <v>8</v>
      </c>
      <c r="K9" s="9"/>
      <c r="L9" s="9"/>
      <c r="M9" s="9"/>
      <c r="N9" s="9"/>
      <c r="O9" s="9"/>
      <c r="P9" s="9"/>
      <c r="Q9" s="9"/>
      <c r="R9" s="9"/>
      <c r="S9" s="2"/>
      <c r="T9" s="2"/>
      <c r="U9" s="2"/>
      <c r="V9" s="2"/>
      <c r="W9" s="2"/>
      <c r="X9" s="2"/>
      <c r="Y9" s="2"/>
      <c r="Z9" s="2"/>
      <c r="AA9" s="2"/>
    </row>
    <row r="10" spans="1:27" ht="64.900000000000006">
      <c r="A10" s="42">
        <v>4</v>
      </c>
      <c r="B10" s="43" t="s">
        <v>8</v>
      </c>
      <c r="C10" s="44" t="s">
        <v>38</v>
      </c>
      <c r="D10" s="44" t="s">
        <v>39</v>
      </c>
      <c r="E10" s="44" t="s">
        <v>40</v>
      </c>
      <c r="F10" s="45" t="s">
        <v>36</v>
      </c>
      <c r="G10" s="43" t="s">
        <v>3</v>
      </c>
      <c r="H10" s="43">
        <v>9</v>
      </c>
      <c r="I10" s="46" t="s">
        <v>37</v>
      </c>
      <c r="J10" s="47" t="s">
        <v>15</v>
      </c>
      <c r="K10" s="9"/>
      <c r="L10" s="9"/>
      <c r="M10" s="9"/>
      <c r="N10" s="9"/>
      <c r="O10" s="9"/>
      <c r="P10" s="9"/>
      <c r="Q10" s="9"/>
      <c r="R10" s="9"/>
      <c r="S10" s="2"/>
      <c r="T10" s="2"/>
      <c r="U10" s="2"/>
      <c r="V10" s="2"/>
      <c r="W10" s="2"/>
      <c r="X10" s="2"/>
      <c r="Y10" s="2"/>
      <c r="Z10" s="2"/>
      <c r="AA10" s="2"/>
    </row>
    <row r="11" spans="1:27" ht="88.5">
      <c r="A11" s="42"/>
      <c r="B11" s="43" t="s">
        <v>8</v>
      </c>
      <c r="C11" s="44" t="s">
        <v>41</v>
      </c>
      <c r="D11" s="44" t="s">
        <v>42</v>
      </c>
      <c r="E11" s="44" t="s">
        <v>43</v>
      </c>
      <c r="F11" s="45" t="s">
        <v>36</v>
      </c>
      <c r="G11" s="43" t="s">
        <v>3</v>
      </c>
      <c r="H11" s="43">
        <v>9</v>
      </c>
      <c r="I11" s="46" t="s">
        <v>37</v>
      </c>
      <c r="J11" s="47"/>
      <c r="K11" s="9"/>
      <c r="L11" s="9"/>
      <c r="M11" s="9"/>
      <c r="N11" s="9"/>
      <c r="O11" s="9"/>
      <c r="P11" s="9"/>
      <c r="Q11" s="9"/>
      <c r="R11" s="9"/>
      <c r="S11" s="2"/>
      <c r="T11" s="2"/>
      <c r="U11" s="2"/>
      <c r="V11" s="2"/>
      <c r="W11" s="2"/>
      <c r="X11" s="2"/>
      <c r="Y11" s="2"/>
      <c r="Z11" s="2"/>
      <c r="AA11" s="2"/>
    </row>
    <row r="12" spans="1:27" ht="39.6">
      <c r="A12" s="42"/>
      <c r="B12" s="43" t="s">
        <v>8</v>
      </c>
      <c r="C12" s="44" t="s">
        <v>44</v>
      </c>
      <c r="D12" s="44" t="s">
        <v>45</v>
      </c>
      <c r="E12" s="44" t="s">
        <v>46</v>
      </c>
      <c r="F12" s="45" t="s">
        <v>36</v>
      </c>
      <c r="G12" s="43" t="s">
        <v>5</v>
      </c>
      <c r="H12" s="43">
        <v>5</v>
      </c>
      <c r="I12" s="46" t="s">
        <v>37</v>
      </c>
      <c r="J12" s="47"/>
      <c r="K12" s="9"/>
      <c r="L12" s="9"/>
      <c r="M12" s="9"/>
      <c r="N12" s="9"/>
      <c r="O12" s="9"/>
      <c r="P12" s="9"/>
      <c r="Q12" s="9"/>
      <c r="R12" s="9"/>
      <c r="S12" s="2"/>
      <c r="T12" s="2"/>
      <c r="U12" s="2"/>
      <c r="V12" s="2"/>
      <c r="W12" s="2"/>
      <c r="X12" s="2"/>
      <c r="Y12" s="2"/>
      <c r="Z12" s="2"/>
      <c r="AA12" s="2"/>
    </row>
    <row r="13" spans="1:27" ht="39.6">
      <c r="A13" s="42"/>
      <c r="B13" s="43" t="s">
        <v>8</v>
      </c>
      <c r="C13" s="44" t="s">
        <v>47</v>
      </c>
      <c r="D13" s="44" t="s">
        <v>48</v>
      </c>
      <c r="E13" s="44" t="s">
        <v>49</v>
      </c>
      <c r="F13" s="45" t="s">
        <v>36</v>
      </c>
      <c r="G13" s="43" t="s">
        <v>6</v>
      </c>
      <c r="H13" s="43">
        <v>3</v>
      </c>
      <c r="I13" s="46" t="s">
        <v>37</v>
      </c>
      <c r="J13" s="47"/>
      <c r="K13" s="9"/>
      <c r="L13" s="9"/>
      <c r="M13" s="9"/>
      <c r="N13" s="9"/>
      <c r="O13" s="9"/>
      <c r="P13" s="9"/>
      <c r="Q13" s="9"/>
      <c r="R13" s="9"/>
      <c r="S13" s="2"/>
      <c r="T13" s="2"/>
      <c r="U13" s="2"/>
      <c r="V13" s="2"/>
      <c r="W13" s="2"/>
      <c r="X13" s="2"/>
      <c r="Y13" s="2"/>
      <c r="Z13" s="2"/>
      <c r="AA13" s="2"/>
    </row>
    <row r="14" spans="1:27" ht="75.75">
      <c r="A14" s="42"/>
      <c r="B14" s="43" t="s">
        <v>8</v>
      </c>
      <c r="C14" s="44" t="s">
        <v>50</v>
      </c>
      <c r="D14" s="44" t="s">
        <v>51</v>
      </c>
      <c r="E14" s="44" t="s">
        <v>52</v>
      </c>
      <c r="F14" s="45" t="s">
        <v>53</v>
      </c>
      <c r="G14" s="43" t="s">
        <v>3</v>
      </c>
      <c r="H14" s="43">
        <v>9</v>
      </c>
      <c r="I14" s="46" t="s">
        <v>37</v>
      </c>
      <c r="J14" s="47"/>
      <c r="K14" s="9"/>
      <c r="L14" s="9"/>
      <c r="M14" s="9"/>
      <c r="N14" s="9"/>
      <c r="O14" s="9"/>
      <c r="P14" s="9"/>
      <c r="Q14" s="9"/>
      <c r="R14" s="9"/>
      <c r="S14" s="2"/>
      <c r="T14" s="2"/>
      <c r="U14" s="2"/>
      <c r="V14" s="2"/>
      <c r="W14" s="2"/>
      <c r="X14" s="2"/>
      <c r="Y14" s="2"/>
      <c r="Z14" s="2"/>
      <c r="AA14" s="2"/>
    </row>
    <row r="15" spans="1:27" ht="39.6">
      <c r="A15" s="42">
        <v>5</v>
      </c>
      <c r="B15" s="43" t="s">
        <v>15</v>
      </c>
      <c r="C15" s="44" t="s">
        <v>54</v>
      </c>
      <c r="D15" s="44" t="s">
        <v>55</v>
      </c>
      <c r="E15" s="44" t="s">
        <v>56</v>
      </c>
      <c r="F15" s="45" t="s">
        <v>36</v>
      </c>
      <c r="G15" s="43" t="s">
        <v>5</v>
      </c>
      <c r="H15" s="43">
        <v>6</v>
      </c>
      <c r="I15" s="46" t="s">
        <v>37</v>
      </c>
      <c r="J15" s="47" t="s">
        <v>16</v>
      </c>
      <c r="K15" s="9"/>
      <c r="L15" s="9"/>
      <c r="M15" s="9"/>
      <c r="N15" s="9"/>
      <c r="O15" s="9"/>
      <c r="P15" s="9"/>
      <c r="Q15" s="9"/>
      <c r="R15" s="9"/>
      <c r="S15" s="2"/>
      <c r="T15" s="2"/>
      <c r="U15" s="2"/>
      <c r="V15" s="2"/>
      <c r="W15" s="2"/>
      <c r="X15" s="2"/>
      <c r="Y15" s="2"/>
      <c r="Z15" s="2"/>
      <c r="AA15" s="2"/>
    </row>
    <row r="16" spans="1:27" ht="39.6">
      <c r="A16" s="42">
        <v>6</v>
      </c>
      <c r="B16" s="43" t="s">
        <v>15</v>
      </c>
      <c r="C16" s="44" t="s">
        <v>57</v>
      </c>
      <c r="D16" s="44" t="s">
        <v>58</v>
      </c>
      <c r="E16" s="44"/>
      <c r="F16" s="45" t="s">
        <v>53</v>
      </c>
      <c r="G16" s="43" t="s">
        <v>7</v>
      </c>
      <c r="H16" s="43">
        <v>0</v>
      </c>
      <c r="I16" s="46" t="s">
        <v>37</v>
      </c>
      <c r="J16" s="47" t="s">
        <v>21</v>
      </c>
      <c r="K16" s="9"/>
      <c r="L16" s="9"/>
      <c r="M16" s="9"/>
      <c r="N16" s="9"/>
      <c r="O16" s="9"/>
      <c r="P16" s="9"/>
      <c r="Q16" s="9"/>
      <c r="R16" s="9"/>
      <c r="S16" s="2"/>
      <c r="T16" s="2"/>
      <c r="U16" s="2"/>
      <c r="V16" s="2"/>
      <c r="W16" s="2"/>
      <c r="X16" s="2"/>
      <c r="Y16" s="2"/>
      <c r="Z16" s="2"/>
      <c r="AA16" s="2"/>
    </row>
    <row r="17" spans="1:27" ht="39.6">
      <c r="A17" s="42">
        <v>7</v>
      </c>
      <c r="B17" s="43" t="s">
        <v>15</v>
      </c>
      <c r="C17" s="44" t="s">
        <v>59</v>
      </c>
      <c r="D17" s="44" t="s">
        <v>60</v>
      </c>
      <c r="E17" s="44" t="s">
        <v>61</v>
      </c>
      <c r="F17" s="45" t="s">
        <v>36</v>
      </c>
      <c r="G17" s="43" t="s">
        <v>6</v>
      </c>
      <c r="H17" s="43">
        <v>2</v>
      </c>
      <c r="I17" s="46" t="s">
        <v>37</v>
      </c>
      <c r="J17" s="47"/>
      <c r="K17" s="9"/>
      <c r="L17" s="9"/>
      <c r="M17" s="9"/>
      <c r="N17" s="9"/>
      <c r="O17" s="9"/>
      <c r="P17" s="9"/>
      <c r="Q17" s="9"/>
      <c r="R17" s="9"/>
      <c r="S17" s="2"/>
      <c r="T17" s="2"/>
      <c r="U17" s="2"/>
      <c r="V17" s="2"/>
      <c r="W17" s="2"/>
      <c r="X17" s="2"/>
      <c r="Y17" s="2"/>
      <c r="Z17" s="2"/>
      <c r="AA17" s="2"/>
    </row>
    <row r="18" spans="1:27" ht="52.15">
      <c r="A18" s="42">
        <v>8</v>
      </c>
      <c r="B18" s="43" t="s">
        <v>15</v>
      </c>
      <c r="C18" s="44" t="s">
        <v>62</v>
      </c>
      <c r="D18" s="44" t="s">
        <v>63</v>
      </c>
      <c r="E18" s="44" t="s">
        <v>64</v>
      </c>
      <c r="F18" s="45" t="s">
        <v>36</v>
      </c>
      <c r="G18" s="43" t="s">
        <v>5</v>
      </c>
      <c r="H18" s="43">
        <v>6</v>
      </c>
      <c r="I18" s="46" t="s">
        <v>37</v>
      </c>
      <c r="J18" s="47" t="s">
        <v>65</v>
      </c>
      <c r="K18" s="9"/>
      <c r="L18" s="9"/>
      <c r="M18" s="9"/>
      <c r="N18" s="9"/>
      <c r="O18" s="9"/>
      <c r="P18" s="9"/>
      <c r="Q18" s="9"/>
      <c r="R18" s="9"/>
      <c r="S18" s="2"/>
      <c r="T18" s="2"/>
      <c r="U18" s="2"/>
      <c r="V18" s="2"/>
      <c r="W18" s="2"/>
      <c r="X18" s="2"/>
      <c r="Y18" s="2"/>
      <c r="Z18" s="2"/>
      <c r="AA18" s="2"/>
    </row>
    <row r="19" spans="1:27" ht="52.15">
      <c r="A19" s="42">
        <v>9</v>
      </c>
      <c r="B19" s="43" t="s">
        <v>16</v>
      </c>
      <c r="C19" s="44" t="s">
        <v>66</v>
      </c>
      <c r="D19" s="44" t="s">
        <v>67</v>
      </c>
      <c r="E19" s="44" t="s">
        <v>68</v>
      </c>
      <c r="F19" s="45" t="s">
        <v>36</v>
      </c>
      <c r="G19" s="43" t="s">
        <v>4</v>
      </c>
      <c r="H19" s="43">
        <v>7</v>
      </c>
      <c r="I19" s="46" t="s">
        <v>37</v>
      </c>
      <c r="J19" s="47" t="s">
        <v>37</v>
      </c>
      <c r="K19" s="9"/>
      <c r="L19" s="9"/>
      <c r="M19" s="9"/>
      <c r="N19" s="9"/>
      <c r="O19" s="9"/>
      <c r="P19" s="9"/>
      <c r="Q19" s="9"/>
      <c r="R19" s="9"/>
      <c r="S19" s="2"/>
      <c r="T19" s="2"/>
      <c r="U19" s="2"/>
      <c r="V19" s="2"/>
      <c r="W19" s="2"/>
      <c r="X19" s="2"/>
      <c r="Y19" s="2"/>
      <c r="Z19" s="2"/>
      <c r="AA19" s="2"/>
    </row>
    <row r="20" spans="1:27" ht="77.650000000000006">
      <c r="A20" s="42">
        <v>10</v>
      </c>
      <c r="B20" s="43" t="s">
        <v>16</v>
      </c>
      <c r="C20" s="44" t="s">
        <v>69</v>
      </c>
      <c r="D20" s="44" t="s">
        <v>70</v>
      </c>
      <c r="E20" s="44" t="s">
        <v>71</v>
      </c>
      <c r="F20" s="45" t="s">
        <v>36</v>
      </c>
      <c r="G20" s="43" t="s">
        <v>3</v>
      </c>
      <c r="H20" s="43">
        <v>9</v>
      </c>
      <c r="I20" s="46" t="s">
        <v>37</v>
      </c>
      <c r="J20" s="47"/>
      <c r="K20" s="9"/>
      <c r="L20" s="9"/>
      <c r="M20" s="9"/>
      <c r="N20" s="9"/>
      <c r="O20" s="9"/>
      <c r="P20" s="9"/>
      <c r="Q20" s="9"/>
      <c r="R20" s="9"/>
      <c r="S20" s="2"/>
      <c r="T20" s="2"/>
      <c r="U20" s="2"/>
      <c r="V20" s="2"/>
      <c r="W20" s="2"/>
      <c r="X20" s="2"/>
      <c r="Y20" s="2"/>
      <c r="Z20" s="2"/>
      <c r="AA20" s="2"/>
    </row>
    <row r="21" spans="1:27" ht="39.6">
      <c r="A21" s="42">
        <v>11</v>
      </c>
      <c r="B21" s="43" t="s">
        <v>16</v>
      </c>
      <c r="C21" s="44" t="s">
        <v>72</v>
      </c>
      <c r="D21" s="44" t="s">
        <v>73</v>
      </c>
      <c r="E21" s="44" t="s">
        <v>74</v>
      </c>
      <c r="F21" s="45" t="s">
        <v>36</v>
      </c>
      <c r="G21" s="43" t="s">
        <v>6</v>
      </c>
      <c r="H21" s="43">
        <v>3</v>
      </c>
      <c r="I21" s="46" t="s">
        <v>37</v>
      </c>
      <c r="J21" s="47" t="s">
        <v>3</v>
      </c>
      <c r="K21" s="9"/>
      <c r="L21" s="9"/>
      <c r="M21" s="9"/>
      <c r="N21" s="9"/>
      <c r="O21" s="9"/>
      <c r="P21" s="9"/>
      <c r="Q21" s="9"/>
      <c r="R21" s="9"/>
      <c r="S21" s="2"/>
      <c r="T21" s="2"/>
      <c r="U21" s="2"/>
      <c r="V21" s="2"/>
      <c r="W21" s="2"/>
      <c r="X21" s="2"/>
      <c r="Y21" s="2"/>
      <c r="Z21" s="2"/>
      <c r="AA21" s="2"/>
    </row>
    <row r="22" spans="1:27" ht="39.6">
      <c r="A22" s="42">
        <v>12</v>
      </c>
      <c r="B22" s="43" t="s">
        <v>21</v>
      </c>
      <c r="C22" s="44" t="s">
        <v>75</v>
      </c>
      <c r="D22" s="44" t="s">
        <v>76</v>
      </c>
      <c r="E22" s="44" t="s">
        <v>77</v>
      </c>
      <c r="F22" s="45" t="s">
        <v>36</v>
      </c>
      <c r="G22" s="43" t="s">
        <v>3</v>
      </c>
      <c r="H22" s="43">
        <v>9</v>
      </c>
      <c r="I22" s="46" t="s">
        <v>37</v>
      </c>
      <c r="J22" s="47" t="s">
        <v>4</v>
      </c>
      <c r="K22" s="9"/>
      <c r="L22" s="9"/>
      <c r="M22" s="9"/>
      <c r="N22" s="9"/>
      <c r="O22" s="9"/>
      <c r="P22" s="9"/>
      <c r="Q22" s="9"/>
      <c r="R22" s="9"/>
      <c r="S22" s="2"/>
      <c r="T22" s="2"/>
      <c r="U22" s="2"/>
      <c r="V22" s="2"/>
      <c r="W22" s="2"/>
      <c r="X22" s="2"/>
      <c r="Y22" s="2"/>
      <c r="Z22" s="2"/>
      <c r="AA22" s="2"/>
    </row>
    <row r="23" spans="1:27" ht="39.6">
      <c r="A23" s="42">
        <v>13</v>
      </c>
      <c r="B23" s="43" t="s">
        <v>21</v>
      </c>
      <c r="C23" s="44" t="s">
        <v>78</v>
      </c>
      <c r="D23" s="44" t="s">
        <v>79</v>
      </c>
      <c r="E23" s="44" t="s">
        <v>80</v>
      </c>
      <c r="F23" s="45" t="s">
        <v>36</v>
      </c>
      <c r="G23" s="43" t="s">
        <v>4</v>
      </c>
      <c r="H23" s="43">
        <v>7</v>
      </c>
      <c r="I23" s="46" t="s">
        <v>37</v>
      </c>
      <c r="J23" s="47" t="s">
        <v>5</v>
      </c>
      <c r="K23" s="9"/>
      <c r="L23" s="9"/>
      <c r="M23" s="9"/>
      <c r="N23" s="9"/>
      <c r="O23" s="9"/>
      <c r="P23" s="9"/>
      <c r="Q23" s="9"/>
      <c r="R23" s="9"/>
      <c r="S23" s="2"/>
      <c r="T23" s="2"/>
      <c r="U23" s="2"/>
      <c r="V23" s="2"/>
      <c r="W23" s="2"/>
      <c r="X23" s="2"/>
      <c r="Y23" s="2"/>
      <c r="Z23" s="2"/>
      <c r="AA23" s="2"/>
    </row>
    <row r="24" spans="1:27" ht="52.15">
      <c r="A24" s="42">
        <v>14</v>
      </c>
      <c r="B24" s="43" t="s">
        <v>21</v>
      </c>
      <c r="C24" s="44" t="s">
        <v>81</v>
      </c>
      <c r="D24" s="44" t="s">
        <v>82</v>
      </c>
      <c r="E24" s="44" t="s">
        <v>83</v>
      </c>
      <c r="F24" s="45" t="s">
        <v>36</v>
      </c>
      <c r="G24" s="43" t="s">
        <v>5</v>
      </c>
      <c r="H24" s="43">
        <v>5</v>
      </c>
      <c r="I24" s="46" t="s">
        <v>37</v>
      </c>
      <c r="J24" s="47" t="s">
        <v>6</v>
      </c>
      <c r="K24" s="9"/>
      <c r="L24" s="9"/>
      <c r="M24" s="9"/>
      <c r="N24" s="9"/>
      <c r="O24" s="9"/>
      <c r="P24" s="9"/>
      <c r="Q24" s="9"/>
      <c r="R24" s="9"/>
      <c r="S24" s="2"/>
      <c r="T24" s="2"/>
      <c r="U24" s="2"/>
      <c r="V24" s="2"/>
      <c r="W24" s="2"/>
      <c r="X24" s="2"/>
      <c r="Y24" s="2"/>
      <c r="Z24" s="2"/>
      <c r="AA24" s="2"/>
    </row>
    <row r="25" spans="1:27" ht="26.85">
      <c r="A25" s="42">
        <v>15</v>
      </c>
      <c r="B25" s="43" t="s">
        <v>21</v>
      </c>
      <c r="C25" s="44" t="s">
        <v>84</v>
      </c>
      <c r="D25" s="44" t="s">
        <v>85</v>
      </c>
      <c r="E25" s="44" t="s">
        <v>86</v>
      </c>
      <c r="F25" s="45" t="s">
        <v>36</v>
      </c>
      <c r="G25" s="43" t="s">
        <v>6</v>
      </c>
      <c r="H25" s="43">
        <v>3</v>
      </c>
      <c r="I25" s="46" t="s">
        <v>37</v>
      </c>
      <c r="J25" s="47" t="s">
        <v>7</v>
      </c>
      <c r="K25" s="9"/>
      <c r="L25" s="9"/>
      <c r="M25" s="9"/>
      <c r="N25" s="9"/>
      <c r="O25" s="9"/>
      <c r="P25" s="9"/>
      <c r="Q25" s="9"/>
      <c r="R25" s="9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42">
        <v>16</v>
      </c>
      <c r="B26" s="43"/>
      <c r="C26" s="44"/>
      <c r="D26" s="44"/>
      <c r="E26" s="44"/>
      <c r="F26" s="45"/>
      <c r="G26" s="43"/>
      <c r="H26" s="43"/>
      <c r="I26" s="46"/>
      <c r="J26" s="47"/>
      <c r="K26" s="9"/>
      <c r="L26" s="9"/>
      <c r="M26" s="9"/>
      <c r="N26" s="9"/>
      <c r="O26" s="9"/>
      <c r="P26" s="9"/>
      <c r="Q26" s="9"/>
      <c r="R26" s="9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42">
        <v>17</v>
      </c>
      <c r="B27" s="43"/>
      <c r="C27" s="44"/>
      <c r="D27" s="44"/>
      <c r="E27" s="44"/>
      <c r="F27" s="45"/>
      <c r="G27" s="43"/>
      <c r="H27" s="43"/>
      <c r="I27" s="46"/>
      <c r="J27" s="47"/>
      <c r="K27" s="9"/>
      <c r="L27" s="9"/>
      <c r="M27" s="9"/>
      <c r="N27" s="9"/>
      <c r="O27" s="9"/>
      <c r="P27" s="9"/>
      <c r="Q27" s="9"/>
      <c r="R27" s="9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42">
        <v>18</v>
      </c>
      <c r="B28" s="43"/>
      <c r="C28" s="44"/>
      <c r="D28" s="44"/>
      <c r="E28" s="44"/>
      <c r="F28" s="45"/>
      <c r="G28" s="43"/>
      <c r="H28" s="43"/>
      <c r="I28" s="46"/>
      <c r="J28" s="47"/>
      <c r="K28" s="9"/>
      <c r="L28" s="9"/>
      <c r="M28" s="9"/>
      <c r="N28" s="9"/>
      <c r="O28" s="9"/>
      <c r="P28" s="9"/>
      <c r="Q28" s="9"/>
      <c r="R28" s="9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42">
        <v>19</v>
      </c>
      <c r="B29" s="43"/>
      <c r="C29" s="44"/>
      <c r="D29" s="44"/>
      <c r="E29" s="44"/>
      <c r="F29" s="45"/>
      <c r="G29" s="43"/>
      <c r="H29" s="43"/>
      <c r="I29" s="46"/>
      <c r="J29" s="47"/>
      <c r="K29" s="9"/>
      <c r="L29" s="9"/>
      <c r="M29" s="9"/>
      <c r="N29" s="9"/>
      <c r="O29" s="9"/>
      <c r="P29" s="9"/>
      <c r="Q29" s="9"/>
      <c r="R29" s="9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42">
        <v>20</v>
      </c>
      <c r="B30" s="43"/>
      <c r="C30" s="48"/>
      <c r="D30" s="48"/>
      <c r="E30" s="48"/>
      <c r="F30" s="45"/>
      <c r="G30" s="43"/>
      <c r="H30" s="43"/>
      <c r="I30" s="46"/>
      <c r="J30" s="47"/>
      <c r="K30" s="9"/>
      <c r="L30" s="9"/>
      <c r="M30" s="9"/>
      <c r="N30" s="9"/>
      <c r="O30" s="9"/>
      <c r="P30" s="9"/>
      <c r="Q30" s="9"/>
      <c r="R30" s="9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42">
        <v>21</v>
      </c>
      <c r="B31" s="43"/>
      <c r="C31" s="48"/>
      <c r="D31" s="48"/>
      <c r="E31" s="48"/>
      <c r="F31" s="45"/>
      <c r="G31" s="43"/>
      <c r="H31" s="43"/>
      <c r="I31" s="46"/>
      <c r="J31" s="47"/>
      <c r="K31" s="9"/>
      <c r="L31" s="9"/>
      <c r="M31" s="9"/>
      <c r="N31" s="9"/>
      <c r="O31" s="9"/>
      <c r="P31" s="9"/>
      <c r="Q31" s="9"/>
      <c r="R31" s="9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42">
        <v>22</v>
      </c>
      <c r="B32" s="43"/>
      <c r="C32" s="48"/>
      <c r="D32" s="48"/>
      <c r="E32" s="48"/>
      <c r="F32" s="45"/>
      <c r="G32" s="43"/>
      <c r="H32" s="43"/>
      <c r="I32" s="46"/>
      <c r="J32" s="47"/>
      <c r="K32" s="9"/>
      <c r="L32" s="9"/>
      <c r="M32" s="9"/>
      <c r="N32" s="9"/>
      <c r="O32" s="9"/>
      <c r="P32" s="9"/>
      <c r="Q32" s="9"/>
      <c r="R32" s="9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42">
        <v>23</v>
      </c>
      <c r="B33" s="43"/>
      <c r="C33" s="48"/>
      <c r="D33" s="48"/>
      <c r="E33" s="48"/>
      <c r="F33" s="45"/>
      <c r="G33" s="43"/>
      <c r="H33" s="43"/>
      <c r="I33" s="46"/>
      <c r="J33" s="47"/>
      <c r="K33" s="9"/>
      <c r="L33" s="9"/>
      <c r="M33" s="9"/>
      <c r="N33" s="9"/>
      <c r="O33" s="9"/>
      <c r="P33" s="9"/>
      <c r="Q33" s="9"/>
      <c r="R33" s="9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42">
        <v>24</v>
      </c>
      <c r="B34" s="43"/>
      <c r="C34" s="48"/>
      <c r="D34" s="48"/>
      <c r="E34" s="48"/>
      <c r="F34" s="45"/>
      <c r="G34" s="43"/>
      <c r="H34" s="43"/>
      <c r="I34" s="46"/>
      <c r="J34" s="47"/>
      <c r="K34" s="9"/>
      <c r="L34" s="9"/>
      <c r="M34" s="9"/>
      <c r="N34" s="9"/>
      <c r="O34" s="9"/>
      <c r="P34" s="9"/>
      <c r="Q34" s="9"/>
      <c r="R34" s="9"/>
      <c r="S34" s="2"/>
      <c r="T34" s="2"/>
      <c r="U34" s="2"/>
      <c r="V34" s="2"/>
      <c r="W34" s="2"/>
      <c r="X34" s="2"/>
      <c r="Y34" s="2"/>
      <c r="Z34" s="2"/>
      <c r="AA34" s="2"/>
    </row>
    <row r="35" spans="1:27" ht="6" customHeight="1">
      <c r="A35" s="33"/>
      <c r="B35" s="49"/>
      <c r="C35" s="49"/>
      <c r="D35" s="49"/>
      <c r="E35" s="49"/>
      <c r="F35" s="49"/>
      <c r="G35" s="49"/>
      <c r="H35" s="49"/>
      <c r="I35" s="50"/>
      <c r="J35" s="7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14.25" customHeight="1">
      <c r="A37" s="7"/>
      <c r="B37" s="1"/>
      <c r="C37" s="1"/>
      <c r="D37" s="1"/>
      <c r="E37" s="1"/>
      <c r="F37" s="1"/>
      <c r="G37" s="1"/>
      <c r="H37" s="1"/>
      <c r="I37" s="1"/>
      <c r="J37" s="7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12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12.75" customHeight="1">
      <c r="A39" s="7"/>
      <c r="B39" s="51"/>
      <c r="C39" s="7"/>
      <c r="D39" s="7"/>
      <c r="E39" s="7"/>
      <c r="F39" s="7"/>
      <c r="G39" s="7"/>
      <c r="H39" s="7"/>
      <c r="I39" s="7"/>
      <c r="J39" s="7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12.75" customHeight="1">
      <c r="A40" s="7"/>
      <c r="B40" s="52"/>
      <c r="C40" s="7"/>
      <c r="D40" s="7"/>
      <c r="E40" s="7"/>
      <c r="F40" s="7"/>
      <c r="G40" s="7"/>
      <c r="H40" s="7"/>
      <c r="I40" s="7"/>
      <c r="J40" s="7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12.75" customHeight="1">
      <c r="A41" s="7"/>
      <c r="B41" s="52"/>
      <c r="C41" s="7"/>
      <c r="D41" s="7"/>
      <c r="E41" s="7"/>
      <c r="F41" s="7"/>
      <c r="G41" s="7"/>
      <c r="H41" s="7"/>
      <c r="I41" s="7"/>
      <c r="J41" s="7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12.75" customHeight="1">
      <c r="A42" s="7"/>
      <c r="B42" s="52"/>
      <c r="C42" s="7"/>
      <c r="D42" s="7"/>
      <c r="E42" s="7"/>
      <c r="F42" s="7"/>
      <c r="G42" s="7"/>
      <c r="H42" s="7"/>
      <c r="I42" s="7"/>
      <c r="J42" s="7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12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12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12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12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12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12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12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12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12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12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12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12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12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 ht="12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 ht="12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 ht="12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 ht="12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 ht="12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 ht="12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 ht="12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 ht="12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 ht="12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 ht="12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ht="12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 ht="12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 ht="12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 ht="12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 ht="12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 ht="12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 ht="12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 ht="12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 ht="12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 ht="12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 ht="12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 ht="12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 ht="12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 ht="12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 ht="12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 ht="12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 ht="12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 ht="12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 ht="12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 ht="12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 ht="12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 ht="12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 ht="12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 ht="12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 ht="12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 ht="12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 ht="12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 ht="12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 ht="12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 ht="12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 ht="12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 ht="12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 ht="12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 ht="12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 ht="12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 ht="12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 ht="12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 ht="12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 ht="12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 ht="12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 ht="12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spans="1:27" ht="12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spans="1:27" ht="12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spans="1:27" ht="12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spans="1:27" ht="12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spans="1:27" ht="12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spans="1:27" ht="12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spans="1:27" ht="12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spans="1:27" ht="12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spans="1:27" ht="12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spans="1:27" ht="12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spans="1:27" ht="12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spans="1:27" ht="12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spans="1:27" ht="12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spans="1:27" ht="12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spans="1:27" ht="12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spans="1:27" ht="12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spans="1:27" ht="12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spans="1:27" ht="12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spans="1:27" ht="12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spans="1:27" ht="12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spans="1:27" ht="12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spans="1:27" ht="12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spans="1:27" ht="12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spans="1:27" ht="12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spans="1:27" ht="12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spans="1:27" ht="12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spans="1:27" ht="12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spans="1:27" ht="12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spans="1:27" ht="12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spans="1:27" ht="12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spans="1:27" ht="12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spans="1:27" ht="12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spans="1:27" ht="12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spans="1:27" ht="12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spans="1:27" ht="12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spans="1:27" ht="12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spans="1:27" ht="12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spans="1:27" ht="12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spans="1:27" ht="12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spans="1:27" ht="12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spans="1:27" ht="12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spans="1:27" ht="12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spans="1:27" ht="12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spans="1:27" ht="12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spans="1:27" ht="12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spans="1:27" ht="12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spans="1:27" ht="12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spans="1:27" ht="12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spans="1:27" ht="12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spans="1:27" ht="12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spans="1:27" ht="12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spans="1:27" ht="12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spans="1:27" ht="12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spans="1:27" ht="12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spans="1:27" ht="12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spans="1:27" ht="12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spans="1:27" ht="12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spans="1:27" ht="12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spans="1:27" ht="12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spans="1:27" ht="12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spans="1:27" ht="12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spans="1:27" ht="12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spans="1:27" ht="12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spans="1:27" ht="12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spans="1:27" ht="12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spans="1:27" ht="12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spans="1:27" ht="12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spans="1:27" ht="12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spans="1:27" ht="12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spans="1:27" ht="12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spans="1:27" ht="12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spans="1:27" ht="12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spans="1:27" ht="12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spans="1:27" ht="12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spans="1:27" ht="12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spans="1:27" ht="12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spans="1:27" ht="12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spans="1:27" ht="12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spans="1:27" ht="12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spans="1:27" ht="12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spans="1:27" ht="12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spans="1:27" ht="12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spans="1:27" ht="12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spans="1:27" ht="12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spans="1:27" ht="12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spans="1:27" ht="12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spans="1:27" ht="12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spans="1:27" ht="12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spans="1:27" ht="12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spans="1:27" ht="12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spans="1:27" ht="12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spans="1:27" ht="12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spans="1:27" ht="12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spans="1:27" ht="12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spans="1:27" ht="12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spans="1:27" ht="12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spans="1:27" ht="12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spans="1:27" ht="12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spans="1:27" ht="12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spans="1:27" ht="12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spans="1:27" ht="12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spans="1:27" ht="12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</row>
    <row r="1002" spans="1:27" ht="12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</row>
  </sheetData>
  <mergeCells count="2">
    <mergeCell ref="S2:AA34"/>
    <mergeCell ref="B37:I37"/>
  </mergeCells>
  <conditionalFormatting sqref="G9:G34">
    <cfRule type="cellIs" dxfId="8" priority="2" operator="equal">
      <formula>"Negligible"</formula>
    </cfRule>
    <cfRule type="cellIs" dxfId="7" priority="3" operator="equal">
      <formula>"Low"</formula>
    </cfRule>
    <cfRule type="cellIs" dxfId="6" priority="4" operator="equal">
      <formula>"Moderate"</formula>
    </cfRule>
    <cfRule type="cellIs" dxfId="5" priority="5" operator="equal">
      <formula>"High"</formula>
    </cfRule>
    <cfRule type="cellIs" dxfId="4" priority="6" operator="equal">
      <formula>"Critical"</formula>
    </cfRule>
  </conditionalFormatting>
  <conditionalFormatting sqref="B9:B34">
    <cfRule type="cellIs" dxfId="3" priority="7" operator="equal">
      <formula>"Dependency"</formula>
    </cfRule>
    <cfRule type="cellIs" dxfId="2" priority="8" operator="equal">
      <formula>"Issue"</formula>
    </cfRule>
    <cfRule type="cellIs" dxfId="1" priority="9" operator="equal">
      <formula>"Risk"</formula>
    </cfRule>
  </conditionalFormatting>
  <conditionalFormatting sqref="I9:I34">
    <cfRule type="cellIs" dxfId="0" priority="10" operator="equal">
      <formula>"Closed"</formula>
    </cfRule>
  </conditionalFormatting>
  <dataValidations count="5">
    <dataValidation type="list" operator="equal" allowBlank="1" showErrorMessage="1" sqref="I6" xr:uid="{00000000-0002-0000-0000-000000000000}">
      <formula1>"Open,Closed,Open/Closed"</formula1>
      <formula2>0</formula2>
    </dataValidation>
    <dataValidation type="list" allowBlank="1" showErrorMessage="1" sqref="I9:I34" xr:uid="{00000000-0002-0000-0000-000001000000}">
      <formula1>"Open,Closed,Open/Closed"</formula1>
      <formula2>0</formula2>
    </dataValidation>
    <dataValidation type="list" allowBlank="1" showErrorMessage="1" sqref="B9:B34" xr:uid="{00000000-0002-0000-0000-000002000000}">
      <formula1>"Risk,Assumption,Issue,Dependency,,"</formula1>
      <formula2>0</formula2>
    </dataValidation>
    <dataValidation type="list" allowBlank="1" showErrorMessage="1" sqref="G9:G34" xr:uid="{00000000-0002-0000-0000-000003000000}">
      <formula1>"Critical,High,Moderate,Low,Negligible"</formula1>
      <formula2>0</formula2>
    </dataValidation>
    <dataValidation type="list" operator="equal" allowBlank="1" showErrorMessage="1" sqref="F9:F34" xr:uid="{00000000-0002-0000-0000-000004000000}">
      <formula1>"Project Manager,Team Lead,Project Manager/Team Lead,User"</formula1>
      <formula2>0</formula2>
    </dataValidation>
  </dataValidations>
  <hyperlinks>
    <hyperlink ref="C1" r:id="rId1" xr:uid="{00000000-0004-0000-0000-000000000000}"/>
  </hyperlink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1c734f-cd3c-409a-b830-21836909dd7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14BF56-3A5E-4CFC-9B48-E78822C7A14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Welcome CC</dc:creator>
  <cp:keywords/>
  <dc:description/>
  <cp:lastModifiedBy>Pranay Jagtap</cp:lastModifiedBy>
  <cp:revision>4</cp:revision>
  <dcterms:created xsi:type="dcterms:W3CDTF">2023-07-28T13:36:26Z</dcterms:created>
  <dcterms:modified xsi:type="dcterms:W3CDTF">2025-06-21T16:15:57Z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0x0101005412AF445DB6E74EB51FE2F8964C2B9F</vt:lpwstr>
  </property>
  <property fmtid="{D5CDD505-2E9C-101B-9397-08002B2CF9AE}" pid="3" name="MediaServiceImageTags">
    <vt:lpwstr/>
  </property>
</Properties>
</file>